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vin\PycharmProjects\ogame\"/>
    </mc:Choice>
  </mc:AlternateContent>
  <xr:revisionPtr revIDLastSave="0" documentId="13_ncr:1_{505DC1C7-6F0B-409C-BCEC-86298B110B29}" xr6:coauthVersionLast="47" xr6:coauthVersionMax="47" xr10:uidLastSave="{00000000-0000-0000-0000-000000000000}"/>
  <bookViews>
    <workbookView xWindow="-28920" yWindow="1185" windowWidth="29040" windowHeight="15720" xr2:uid="{B060F3F3-35D1-40AE-88D8-871C30A39CA3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" l="1"/>
  <c r="J14" i="1"/>
  <c r="I11" i="1"/>
  <c r="O17" i="1"/>
  <c r="P14" i="1"/>
  <c r="O11" i="1"/>
  <c r="C11" i="1"/>
  <c r="E14" i="1" s="1"/>
  <c r="T17" i="1" l="1"/>
  <c r="E16" i="1"/>
  <c r="D19" i="1" s="1"/>
</calcChain>
</file>

<file path=xl/sharedStrings.xml><?xml version="1.0" encoding="utf-8"?>
<sst xmlns="http://schemas.openxmlformats.org/spreadsheetml/2006/main" count="16" uniqueCount="10">
  <si>
    <t>base cost * pow(increase factor ; building level) * (building level + 1)</t>
  </si>
  <si>
    <t>base value</t>
  </si>
  <si>
    <t>factor</t>
  </si>
  <si>
    <t>level</t>
  </si>
  <si>
    <t>Bonus bat</t>
  </si>
  <si>
    <t>Classe marchand</t>
  </si>
  <si>
    <t>Total</t>
  </si>
  <si>
    <t>Vit uni</t>
  </si>
  <si>
    <t>labo de tech</t>
  </si>
  <si>
    <t>réserve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</si>
</sst>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0" applyNumberFormat="1"/>
    <xf numFmtId="0" fontId="0" fillId="2" borderId="0" xfId="0" applyFill="1"/>
    <xf numFmtId="9" fontId="0" fillId="0" borderId="0" xfId="1" applyFont="1"/>
    <xf numFmtId="0" fontId="0" fillId="0" borderId="0" xfId="0" applyNumberForma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BB24-2CC6-4A73-A263-F5354DE7E17E}">
  <dimension ref="C3:T31"/>
  <sheetViews>
    <sheetView tabSelected="1" workbookViewId="0">
      <selection activeCell="P14" sqref="P14"/>
    </sheetView>
  </sheetViews>
  <sheetFormatPr baseColWidth="10" defaultRowHeight="15" x14ac:dyDescent="0.25"/>
  <cols>
    <col min="3" max="3" width="32.85546875" customWidth="1"/>
  </cols>
  <sheetData>
    <row r="3" spans="3:20" x14ac:dyDescent="0.25">
      <c r="G3" s="2"/>
      <c r="M3" s="2"/>
      <c r="R3" s="2"/>
    </row>
    <row r="4" spans="3:20" x14ac:dyDescent="0.25">
      <c r="C4" t="s">
        <v>0</v>
      </c>
      <c r="G4" s="2"/>
      <c r="M4" s="2"/>
      <c r="R4" s="2"/>
    </row>
    <row r="5" spans="3:20" x14ac:dyDescent="0.25">
      <c r="G5" s="2"/>
      <c r="M5" s="2"/>
      <c r="R5" s="2"/>
    </row>
    <row r="6" spans="3:20" x14ac:dyDescent="0.25">
      <c r="C6" t="s">
        <v>1</v>
      </c>
      <c r="D6">
        <v>210</v>
      </c>
      <c r="G6" s="2"/>
      <c r="I6" t="s">
        <v>1</v>
      </c>
      <c r="J6">
        <v>9</v>
      </c>
      <c r="M6" s="2"/>
      <c r="O6" t="s">
        <v>1</v>
      </c>
      <c r="P6">
        <v>10</v>
      </c>
      <c r="R6" s="2"/>
      <c r="T6" s="3">
        <f>O17/J14</f>
        <v>0.77241884771930525</v>
      </c>
    </row>
    <row r="7" spans="3:20" x14ac:dyDescent="0.25">
      <c r="C7" t="s">
        <v>2</v>
      </c>
      <c r="D7">
        <v>1.21</v>
      </c>
      <c r="G7" s="2"/>
      <c r="I7" t="s">
        <v>2</v>
      </c>
      <c r="J7">
        <v>1.1499999999999999</v>
      </c>
      <c r="M7" s="2"/>
      <c r="O7" t="s">
        <v>2</v>
      </c>
      <c r="P7">
        <v>1.1399999999999999</v>
      </c>
      <c r="R7" s="2"/>
      <c r="T7" s="3"/>
    </row>
    <row r="8" spans="3:20" x14ac:dyDescent="0.25">
      <c r="C8" t="s">
        <v>3</v>
      </c>
      <c r="D8">
        <v>52</v>
      </c>
      <c r="G8" s="2"/>
      <c r="I8" t="s">
        <v>3</v>
      </c>
      <c r="J8">
        <v>52</v>
      </c>
      <c r="M8" s="2"/>
      <c r="O8" t="s">
        <v>3</v>
      </c>
      <c r="P8">
        <v>48</v>
      </c>
      <c r="R8" s="2"/>
    </row>
    <row r="9" spans="3:20" x14ac:dyDescent="0.25">
      <c r="G9" s="2"/>
      <c r="M9" s="2"/>
      <c r="O9" t="s">
        <v>7</v>
      </c>
      <c r="P9">
        <v>6</v>
      </c>
      <c r="R9" s="2"/>
    </row>
    <row r="10" spans="3:20" x14ac:dyDescent="0.25">
      <c r="G10" s="2"/>
      <c r="M10" s="2"/>
      <c r="R10" s="2"/>
    </row>
    <row r="11" spans="3:20" x14ac:dyDescent="0.25">
      <c r="C11">
        <f>D6*POWER(D7,D8)*(D8+1)</f>
        <v>224561045.08254668</v>
      </c>
      <c r="G11" s="2"/>
      <c r="I11">
        <f>(J6*POWER(J7,J8)*(J8+1))*P9</f>
        <v>4101637.9981080517</v>
      </c>
      <c r="M11" s="2"/>
      <c r="O11">
        <f>(P6*POWER(P7,P8)*(P8+1))*P9</f>
        <v>1584091.2481301697</v>
      </c>
      <c r="R11" s="2"/>
    </row>
    <row r="12" spans="3:20" x14ac:dyDescent="0.25">
      <c r="G12" s="2"/>
      <c r="M12" s="2"/>
      <c r="R12" s="2"/>
    </row>
    <row r="13" spans="3:20" x14ac:dyDescent="0.25">
      <c r="G13" s="2"/>
      <c r="M13" s="2"/>
      <c r="R13" s="2"/>
    </row>
    <row r="14" spans="3:20" x14ac:dyDescent="0.25">
      <c r="C14" t="s">
        <v>4</v>
      </c>
      <c r="D14" s="1">
        <v>0.15</v>
      </c>
      <c r="E14">
        <f>C11*D14</f>
        <v>33684156.762382001</v>
      </c>
      <c r="G14" s="2"/>
      <c r="I14" t="s">
        <v>9</v>
      </c>
      <c r="J14">
        <f>I11*0.8</f>
        <v>3281310.3984864415</v>
      </c>
      <c r="M14" s="2"/>
      <c r="O14" t="s">
        <v>8</v>
      </c>
      <c r="P14" s="4">
        <f>O11*0.6</f>
        <v>950454.74887810182</v>
      </c>
      <c r="R14" s="2"/>
    </row>
    <row r="15" spans="3:20" x14ac:dyDescent="0.25">
      <c r="G15" s="2"/>
      <c r="M15" s="2"/>
      <c r="R15" s="2"/>
    </row>
    <row r="16" spans="3:20" x14ac:dyDescent="0.25">
      <c r="C16" t="s">
        <v>5</v>
      </c>
      <c r="D16" s="1">
        <v>0.1</v>
      </c>
      <c r="E16">
        <f>C11*D16</f>
        <v>22456104.50825467</v>
      </c>
      <c r="G16" s="2"/>
      <c r="M16" s="2"/>
      <c r="R16" s="2"/>
    </row>
    <row r="17" spans="3:20" x14ac:dyDescent="0.25">
      <c r="G17" s="2"/>
      <c r="M17" s="2"/>
      <c r="O17">
        <f>O11+P14</f>
        <v>2534545.9970082715</v>
      </c>
      <c r="R17" s="2"/>
      <c r="T17">
        <f>D19*T6</f>
        <v>216818979.60662955</v>
      </c>
    </row>
    <row r="18" spans="3:20" x14ac:dyDescent="0.25">
      <c r="G18" s="2"/>
      <c r="M18" s="2"/>
      <c r="R18" s="2"/>
    </row>
    <row r="19" spans="3:20" x14ac:dyDescent="0.25">
      <c r="C19" t="s">
        <v>6</v>
      </c>
      <c r="D19">
        <f>C11+E14+E16</f>
        <v>280701306.35318333</v>
      </c>
      <c r="G19" s="2"/>
      <c r="M19" s="2"/>
      <c r="R19" s="2"/>
    </row>
    <row r="20" spans="3:20" x14ac:dyDescent="0.25">
      <c r="G20" s="2"/>
      <c r="M20" s="2"/>
      <c r="R20" s="2"/>
    </row>
    <row r="21" spans="3:20" x14ac:dyDescent="0.25">
      <c r="G21" s="2"/>
      <c r="M21" s="2"/>
      <c r="R21" s="2"/>
    </row>
    <row r="22" spans="3:20" x14ac:dyDescent="0.25">
      <c r="G22" s="2"/>
      <c r="M22" s="2"/>
      <c r="R22" s="2"/>
    </row>
    <row r="23" spans="3:20" x14ac:dyDescent="0.25">
      <c r="G23" s="2"/>
      <c r="M23" s="2"/>
      <c r="R23" s="2"/>
    </row>
    <row r="24" spans="3:20" x14ac:dyDescent="0.25">
      <c r="G24" s="2"/>
      <c r="M24" s="2"/>
      <c r="R24" s="2"/>
    </row>
    <row r="25" spans="3:20" x14ac:dyDescent="0.25">
      <c r="G25" s="2"/>
      <c r="M25" s="2"/>
      <c r="R25" s="2"/>
    </row>
    <row r="26" spans="3:20" x14ac:dyDescent="0.25">
      <c r="G26" s="2"/>
      <c r="M26" s="2"/>
      <c r="R26" s="2"/>
    </row>
    <row r="27" spans="3:20" x14ac:dyDescent="0.25">
      <c r="G27" s="2"/>
      <c r="M27" s="2"/>
      <c r="R27" s="2"/>
    </row>
    <row r="28" spans="3:20" x14ac:dyDescent="0.25">
      <c r="G28" s="2"/>
      <c r="M28" s="2"/>
      <c r="R28" s="2"/>
    </row>
    <row r="29" spans="3:20" x14ac:dyDescent="0.25">
      <c r="G29" s="2"/>
      <c r="M29" s="2"/>
      <c r="R29" s="2"/>
    </row>
    <row r="30" spans="3:20" x14ac:dyDescent="0.25">
      <c r="G30" s="2"/>
      <c r="M30" s="2"/>
      <c r="R30" s="2"/>
    </row>
    <row r="31" spans="3:20" x14ac:dyDescent="0.25">
      <c r="G31" s="2"/>
      <c r="M31" s="2"/>
      <c r="R3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Gauchey</dc:creator>
  <cp:lastModifiedBy>Kevin Gauchey</cp:lastModifiedBy>
  <dcterms:created xsi:type="dcterms:W3CDTF">2022-08-31T22:13:24Z</dcterms:created>
  <dcterms:modified xsi:type="dcterms:W3CDTF">2022-08-31T23:32:31Z</dcterms:modified>
</cp:coreProperties>
</file>